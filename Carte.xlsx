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rrieri" sheetId="1" r:id="rId5"/>
    <sheet state="visible" name="Magie" sheetId="2" r:id="rId6"/>
    <sheet state="visible" name="Costruzioni" sheetId="3" r:id="rId7"/>
    <sheet state="visible" name="Totale" sheetId="4" r:id="rId8"/>
  </sheets>
  <definedNames>
    <definedName hidden="1" localSheetId="0" name="_xlnm._FilterDatabase">Guerrieri!$A$1:$AA$25</definedName>
    <definedName hidden="1" localSheetId="1" name="_xlnm._FilterDatabase">Magie!$A$1:$Z$22</definedName>
  </definedNames>
  <calcPr/>
</workbook>
</file>

<file path=xl/sharedStrings.xml><?xml version="1.0" encoding="utf-8"?>
<sst xmlns="http://schemas.openxmlformats.org/spreadsheetml/2006/main" count="403" uniqueCount="184">
  <si>
    <t>Nome</t>
  </si>
  <si>
    <t>Specie</t>
  </si>
  <si>
    <t>Scuola</t>
  </si>
  <si>
    <t>Livello</t>
  </si>
  <si>
    <t>Costo</t>
  </si>
  <si>
    <t>ATT Base</t>
  </si>
  <si>
    <t>GIT Base</t>
  </si>
  <si>
    <t>DIF Base</t>
  </si>
  <si>
    <t>Effetto Orda</t>
  </si>
  <si>
    <t>Evolve da</t>
  </si>
  <si>
    <t>Evolve in</t>
  </si>
  <si>
    <t>Disegnato</t>
  </si>
  <si>
    <t>Copie</t>
  </si>
  <si>
    <t>Patrizio</t>
  </si>
  <si>
    <t>Elfo</t>
  </si>
  <si>
    <t>-</t>
  </si>
  <si>
    <t>Recluta</t>
  </si>
  <si>
    <t>2 Mana</t>
  </si>
  <si>
    <t>Questa carta ottiene +2 GIT.</t>
  </si>
  <si>
    <t>San Patrizio</t>
  </si>
  <si>
    <t>Eroe</t>
  </si>
  <si>
    <t>Reinhold</t>
  </si>
  <si>
    <t>Nano</t>
  </si>
  <si>
    <t>Il costo per completare le Sorgive è ridotto di 2.</t>
  </si>
  <si>
    <t>Von Reinhold</t>
  </si>
  <si>
    <t>Araminta</t>
  </si>
  <si>
    <t>Maga</t>
  </si>
  <si>
    <t>Anatemi</t>
  </si>
  <si>
    <t>Gli Anatemi a costo 1 che giochi ti ritornano in mano.</t>
  </si>
  <si>
    <t>Araminta, the Pyric</t>
  </si>
  <si>
    <t>Orfeo</t>
  </si>
  <si>
    <t>Umano</t>
  </si>
  <si>
    <t>Questa carta ottiene +1 ATT e +1 DIF.</t>
  </si>
  <si>
    <t>Ὀρφεύς</t>
  </si>
  <si>
    <t>Giulio</t>
  </si>
  <si>
    <t>1 Mana</t>
  </si>
  <si>
    <t>Cerca Giulio II e aggiungilo alla tua mano.</t>
  </si>
  <si>
    <t>Giulio II</t>
  </si>
  <si>
    <t>3 Mana</t>
  </si>
  <si>
    <t>Faust</t>
  </si>
  <si>
    <t>Le Biblioteche avversarie non hanno effetto.</t>
  </si>
  <si>
    <t>Doctor Faustus</t>
  </si>
  <si>
    <t>Evelyn</t>
  </si>
  <si>
    <t>Sortilegi</t>
  </si>
  <si>
    <t>I Sortilegi a costo 1 che giochi vengono giocati una seconda volta.</t>
  </si>
  <si>
    <t>Evelyn, the Briny</t>
  </si>
  <si>
    <t>Polemarco</t>
  </si>
  <si>
    <t>Questa carta ottiene +1 ATT per ogni tuo Umano.</t>
  </si>
  <si>
    <t>Πολέμαρχος</t>
  </si>
  <si>
    <t>Decimo</t>
  </si>
  <si>
    <t>Se attacchi un avversario che ha un Fossato, raddoppia la GIT di quest'Orda.</t>
  </si>
  <si>
    <t>Pio Decimo</t>
  </si>
  <si>
    <t>Joseph</t>
  </si>
  <si>
    <t>Se questa carta ha un Trono assegnato, i tuoi avversari non possono avere o giocare Troni. Scartali.</t>
  </si>
  <si>
    <t>Kaiser Joseph</t>
  </si>
  <si>
    <t>Madeleine</t>
  </si>
  <si>
    <t>Incantesimi</t>
  </si>
  <si>
    <t>I Prodigi dei tuoi Incantesimi si attivano indipendentemente dalla Scuola delle tue Maghe.</t>
  </si>
  <si>
    <t>Madeleine, the Nemoral</t>
  </si>
  <si>
    <t>Eracle</t>
  </si>
  <si>
    <t>Se vinci una Battaglia con almeno 3 Danni, puoi distruggere una Costruzione del difensore.</t>
  </si>
  <si>
    <t>Ἡρακλῆς</t>
  </si>
  <si>
    <t>Effetto Base</t>
  </si>
  <si>
    <t>Effetto Prodigio</t>
  </si>
  <si>
    <t>Ardolancio</t>
  </si>
  <si>
    <t>Anatema</t>
  </si>
  <si>
    <t>1 Maga</t>
  </si>
  <si>
    <t>Infliggi 2 Danni a un Bastione a tua scelta.</t>
  </si>
  <si>
    <t>Infliggi 4 Danni a un Bastione a tua scelta.</t>
  </si>
  <si>
    <t>Vitalflusso</t>
  </si>
  <si>
    <t>Sortilegio</t>
  </si>
  <si>
    <t>Aggiungi una tua Sorgiva completa alle tue Vite.</t>
  </si>
  <si>
    <t>&amp; Scarta una Sorgiva di ogni avversario.</t>
  </si>
  <si>
    <t>Magiscudo</t>
  </si>
  <si>
    <t>Incantesimo</t>
  </si>
  <si>
    <t>Le Magie non hanno effetto su di te fino al tuo prossimo turno.</t>
  </si>
  <si>
    <t>&amp; Puoi giocare questa carta durante il turno di un avversario per difenderti da una Magia.</t>
  </si>
  <si>
    <t>Equipotenza</t>
  </si>
  <si>
    <t>Scegli un tuo Guerriero. Fino all'inizio del tuo prossimo turno, i suoi ATT e DIF sono pari al maggiore dei due.</t>
  </si>
  <si>
    <t>&amp; Scegli un Guerriero. Fino all'inizio del tuo prossimo turno, i suoi ATT e DIF sono pari al minore dei due.</t>
  </si>
  <si>
    <t>Regicidio</t>
  </si>
  <si>
    <t>Scarta un Trono.</t>
  </si>
  <si>
    <t>&amp; Scarta il Guerriero a cui era assegnato.</t>
  </si>
  <si>
    <t>Agilpesca</t>
  </si>
  <si>
    <t>Pesca una carta. Ottieni un'Azione aggiuntiva.</t>
  </si>
  <si>
    <t>&amp; Pesca una carta e scarta una carta.</t>
  </si>
  <si>
    <t>Guerremoto</t>
  </si>
  <si>
    <t>Questo turno la Battaglia può essere giocata contro un Bastione qualsiasi.</t>
  </si>
  <si>
    <t>&amp; Aggiungi 2 Danni al risultato.</t>
  </si>
  <si>
    <t>Arrampicarta</t>
  </si>
  <si>
    <t>Scegli un tuo Muro e assegnalo a un Guerriero. Quella carta ottiene +1 GIT.</t>
  </si>
  <si>
    <t>&amp; Per ogni avversario, rimuovi un Muro assegnato a un suo Guerriero.</t>
  </si>
  <si>
    <t>Investimento</t>
  </si>
  <si>
    <t>Ottieni 2 Mana.</t>
  </si>
  <si>
    <t>&amp; Il prossimo turno ottieni 2 Mana aggiuntivi.</t>
  </si>
  <si>
    <t>Cuordipietra</t>
  </si>
  <si>
    <t>2 Maghe</t>
  </si>
  <si>
    <t>Scegli una Recluta avversaria e aggiungila a un suo Bastione.</t>
  </si>
  <si>
    <t>Scegli un Guerriero avversario e aggiungilo a un tuo Bastione.</t>
  </si>
  <si>
    <t>Bastioncontrario</t>
  </si>
  <si>
    <t>Scambia due Bastioni dello stesso giocatore.</t>
  </si>
  <si>
    <t>Scambia due Bastioni.</t>
  </si>
  <si>
    <t>Divinazione</t>
  </si>
  <si>
    <t>Il prossimo turno ottieni 1 Mana aggiuntivo per ogni tua Maga della Scuola di Incantesimi.</t>
  </si>
  <si>
    <t>Il prossimo turno ottieni 1 Mana aggiuntivo per ogni tua Maga.</t>
  </si>
  <si>
    <t>Malcomune</t>
  </si>
  <si>
    <t>Scarta un tuo Guerriero. Ogni avversario scarta un Guerriero della stessa Specie.</t>
  </si>
  <si>
    <t>Scegli un tuo Guerriero. Ogni avversario scarta un Guerriero della stessa Specie.</t>
  </si>
  <si>
    <t>Telecinesi</t>
  </si>
  <si>
    <t>Sposta fino a 3 Muri da un tuo Bastione all'altro.</t>
  </si>
  <si>
    <t>Sposta fino a 3 Muri da un Bastione a uno adiacente.</t>
  </si>
  <si>
    <t>Cercapersone</t>
  </si>
  <si>
    <t>Cerca una Recluta nel mazzo e aggiungila alla tua mano.</t>
  </si>
  <si>
    <t>Cerca una Recluta nel mazzo e giocala immediatamente senza pagarne il costo.</t>
  </si>
  <si>
    <t>Incendifesa</t>
  </si>
  <si>
    <t>Infliggi Danni a un Bastione a tua scelta pari al numero di Guerrieri presso di esso.</t>
  </si>
  <si>
    <t>Infliggi Danni a un Bastione a tua scelta pari al numero di Guerrieri presso i Bastioni dell'avversario.</t>
  </si>
  <si>
    <t>Dazipazzi</t>
  </si>
  <si>
    <t>Riporta allo stato incompleto tutti gli Scrigni avversari.</t>
  </si>
  <si>
    <t>&amp; Riporta allo stato incompleto tutti gli Estrattori avversari.</t>
  </si>
  <si>
    <t>Plasmattone</t>
  </si>
  <si>
    <t>Aggiungi un Muro casuale da un tuo Bastione alla tua mano.</t>
  </si>
  <si>
    <t>Aggiungi un Muro a tua scelta da un tuo Bastione alla tua mano.</t>
  </si>
  <si>
    <t>Cambiamente</t>
  </si>
  <si>
    <t>3 Maghe</t>
  </si>
  <si>
    <t>Scegli un Guerriero avversario e scartalo.</t>
  </si>
  <si>
    <t>Scegli un Guerriero avversario e aggiungilo alla tua mano.</t>
  </si>
  <si>
    <t>Velocemento</t>
  </si>
  <si>
    <t>Gioca una Costruzione dalla tua mano senza pagarne il costo.</t>
  </si>
  <si>
    <t>Gioca e completa una Costruzione dalla tua mano senza pagarne il costo.</t>
  </si>
  <si>
    <t>Plasmarmo</t>
  </si>
  <si>
    <t>&amp; Giocalo senza pagarne il costo.</t>
  </si>
  <si>
    <t>Costo Base</t>
  </si>
  <si>
    <t>Costo Completamento</t>
  </si>
  <si>
    <t>Effetto Completo</t>
  </si>
  <si>
    <t>Estrattore</t>
  </si>
  <si>
    <t>A inizio turno lancia un D10. Se esce almeno 6, ottieni un Mana aggiuntivo.</t>
  </si>
  <si>
    <t>A inizio turno ottieni un Mana aggiuntivo.</t>
  </si>
  <si>
    <t>Granaio</t>
  </si>
  <si>
    <t>A fine turno lancia un D10. Se esce almeno 6, peschi fino ad avere 7 carte in mano.</t>
  </si>
  <si>
    <t>A fine turno peschi fino ad avere 7 carte in mano.</t>
  </si>
  <si>
    <t>Fucina</t>
  </si>
  <si>
    <t>Dopo la seconda Azione lancia un D10. Se esce almeno 6, questo turno puoi svolgerne una terza.</t>
  </si>
  <si>
    <t>Puoi svolgere una terza Azione tutti i turni.</t>
  </si>
  <si>
    <t>Biblioteca</t>
  </si>
  <si>
    <t>A inizio turno pesca una carta. Poi scarta una carta.</t>
  </si>
  <si>
    <t>A inizio turno pesca una carta. Poi aggiungi una carta a un Bastione.</t>
  </si>
  <si>
    <t>Ariete</t>
  </si>
  <si>
    <t>Quando attacchi, ottieni +1 ATT.</t>
  </si>
  <si>
    <t>Quando attacchi, ottieni +2 ATT.</t>
  </si>
  <si>
    <t>Catapulta</t>
  </si>
  <si>
    <t>Quando attacchi o difendi, ottieni +1 GIT.</t>
  </si>
  <si>
    <t>Quando attacchi o difendi, ottieni +2 GIT.</t>
  </si>
  <si>
    <t>Saracinesca</t>
  </si>
  <si>
    <t>Quando difendi, ottieni +1 DIF.</t>
  </si>
  <si>
    <t>Quando difendi, ottieni +2 DIF.</t>
  </si>
  <si>
    <t>Sorgiva</t>
  </si>
  <si>
    <t>4 Mana</t>
  </si>
  <si>
    <t>Nessun effetto.</t>
  </si>
  <si>
    <t>Se giochi Vitalflusso, aggiungi questa carta alle tue Vite.</t>
  </si>
  <si>
    <t>Arena</t>
  </si>
  <si>
    <t>Una volta per turno, puoi scartare un Guerriero. Se lo fai, scarta un Guerriero con una Caratteristica più bassa.</t>
  </si>
  <si>
    <t>&amp; Se hai scartato un Eroe avversario, scarta anche la sua Recluta e le carte assegnate.</t>
  </si>
  <si>
    <t>Fossato</t>
  </si>
  <si>
    <t>Non puoi essere bersaglio di attacchi con meno di 1 GIT.</t>
  </si>
  <si>
    <t>Non puoi essere bersaglio di attacchi con meno di 3 GIT.</t>
  </si>
  <si>
    <t>Scrigno</t>
  </si>
  <si>
    <t>Quando una carta che non è uno Scrigno ti fa ottenere Mana, ottienine 1 in più.</t>
  </si>
  <si>
    <t>Quando una carta che non è uno Scrigno ti fa ottenere Mana, ottienine altrettanto in più.</t>
  </si>
  <si>
    <t>Obelisco</t>
  </si>
  <si>
    <t>Dopo aver usato una Magia, lancia un D10. Se esce almeno 8, la Magia torna nella tua mano.</t>
  </si>
  <si>
    <t>Dopo aver usato una Magia, lancia un D10. Se esce almeno 6, la Magia torna nella tua mano.</t>
  </si>
  <si>
    <t>Cardo</t>
  </si>
  <si>
    <t>0 Mana</t>
  </si>
  <si>
    <t>Se hai Decumano in gioco, a fine turno, prima di pescare, puoi spostare un Guerriero da una Regione a un'altra.</t>
  </si>
  <si>
    <t>Decumano</t>
  </si>
  <si>
    <t>Se hai Cardo in gioco, puoi completarlo in qualsiasi momento senza usare Azioni.</t>
  </si>
  <si>
    <t>Trono</t>
  </si>
  <si>
    <t>Assegna questa carta a un tuo Guerriero.</t>
  </si>
  <si>
    <t>L'effetto Orda del Guerriero a cui è assegnata questa carta è sempre attivo.</t>
  </si>
  <si>
    <t>Guerrieri</t>
  </si>
  <si>
    <t>Magie</t>
  </si>
  <si>
    <t>Costruzioni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</si>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</sst>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10.0"/>
      <color rgb="FF202122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3" numFmtId="0" xfId="0" applyAlignment="1" applyFont="1">
      <alignment shrinkToFit="0" vertical="top" wrapText="1"/>
    </xf>
    <xf borderId="0" fillId="3" fontId="3" numFmtId="0" xfId="0" applyAlignment="1" applyFill="1" applyFont="1">
      <alignment readingOrder="0" shrinkToFit="0" vertical="top" wrapText="1"/>
    </xf>
    <xf borderId="0" fillId="3" fontId="3" numFmtId="0" xfId="0" applyAlignment="1" applyFont="1">
      <alignment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4" fontId="3" numFmtId="0" xfId="0" applyAlignment="1" applyFont="1">
      <alignment shrinkToFit="0" vertical="top" wrapText="1"/>
    </xf>
    <xf borderId="0" fillId="3" fontId="4" numFmtId="0" xfId="0" applyAlignment="1" applyFont="1">
      <alignment readingOrder="0" vertical="top"/>
    </xf>
    <xf borderId="0" fillId="4" fontId="2" numFmtId="0" xfId="0" applyAlignment="1" applyFont="1">
      <alignment readingOrder="0" shrinkToFit="0" vertical="top" wrapText="1"/>
    </xf>
    <xf borderId="0" fillId="4" fontId="3" numFmtId="0" xfId="0" applyAlignment="1" applyFont="1">
      <alignment vertical="top"/>
    </xf>
    <xf borderId="0" fillId="3" fontId="3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ostruzion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2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ostruzion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13"/>
    <col customWidth="1" min="3" max="3" width="15.75"/>
    <col customWidth="1" min="5" max="5" width="8.0"/>
    <col customWidth="1" min="6" max="6" width="8.5"/>
    <col customWidth="1" min="7" max="7" width="8.25"/>
    <col customWidth="1" min="8" max="8" width="8.13"/>
    <col customWidth="1" min="9" max="9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2.0</v>
      </c>
      <c r="G2" s="4">
        <v>1.0</v>
      </c>
      <c r="H2" s="4">
        <v>2.0</v>
      </c>
      <c r="I2" s="4" t="s">
        <v>18</v>
      </c>
      <c r="J2" s="4" t="s">
        <v>15</v>
      </c>
      <c r="K2" s="4" t="s">
        <v>19</v>
      </c>
      <c r="L2" s="4" t="b">
        <v>1</v>
      </c>
      <c r="M2" s="4">
        <v>4.0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19</v>
      </c>
      <c r="B3" s="6" t="s">
        <v>14</v>
      </c>
      <c r="C3" s="6" t="s">
        <v>15</v>
      </c>
      <c r="D3" s="6" t="s">
        <v>20</v>
      </c>
      <c r="E3" s="6" t="s">
        <v>17</v>
      </c>
      <c r="F3" s="6">
        <v>4.0</v>
      </c>
      <c r="G3" s="6">
        <v>3.0</v>
      </c>
      <c r="H3" s="6">
        <v>3.0</v>
      </c>
      <c r="I3" s="6" t="s">
        <v>15</v>
      </c>
      <c r="J3" s="6" t="s">
        <v>13</v>
      </c>
      <c r="K3" s="6" t="s">
        <v>15</v>
      </c>
      <c r="L3" s="6" t="b">
        <v>1</v>
      </c>
      <c r="M3" s="6">
        <v>2.0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4" t="s">
        <v>21</v>
      </c>
      <c r="B4" s="4" t="s">
        <v>22</v>
      </c>
      <c r="C4" s="4" t="s">
        <v>15</v>
      </c>
      <c r="D4" s="4" t="s">
        <v>16</v>
      </c>
      <c r="E4" s="4" t="s">
        <v>17</v>
      </c>
      <c r="F4" s="4">
        <v>2.0</v>
      </c>
      <c r="G4" s="4">
        <v>0.0</v>
      </c>
      <c r="H4" s="4">
        <v>3.0</v>
      </c>
      <c r="I4" s="4" t="s">
        <v>23</v>
      </c>
      <c r="J4" s="4" t="s">
        <v>15</v>
      </c>
      <c r="K4" s="4" t="s">
        <v>24</v>
      </c>
      <c r="L4" s="4" t="b">
        <v>1</v>
      </c>
      <c r="M4" s="4">
        <v>4.0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 t="s">
        <v>24</v>
      </c>
      <c r="B5" s="6" t="s">
        <v>22</v>
      </c>
      <c r="C5" s="6" t="s">
        <v>15</v>
      </c>
      <c r="D5" s="6" t="s">
        <v>20</v>
      </c>
      <c r="E5" s="6" t="s">
        <v>17</v>
      </c>
      <c r="F5" s="6">
        <v>5.0</v>
      </c>
      <c r="G5" s="6">
        <v>0.0</v>
      </c>
      <c r="H5" s="6">
        <v>5.0</v>
      </c>
      <c r="I5" s="6" t="s">
        <v>15</v>
      </c>
      <c r="J5" s="6" t="s">
        <v>21</v>
      </c>
      <c r="K5" s="6" t="s">
        <v>15</v>
      </c>
      <c r="L5" s="6" t="b">
        <v>1</v>
      </c>
      <c r="M5" s="6">
        <v>2.0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4" t="s">
        <v>25</v>
      </c>
      <c r="B6" s="4" t="s">
        <v>26</v>
      </c>
      <c r="C6" s="4" t="s">
        <v>27</v>
      </c>
      <c r="D6" s="4" t="s">
        <v>16</v>
      </c>
      <c r="E6" s="4" t="s">
        <v>17</v>
      </c>
      <c r="F6" s="4">
        <v>2.0</v>
      </c>
      <c r="G6" s="4">
        <v>0.0</v>
      </c>
      <c r="H6" s="4">
        <v>2.0</v>
      </c>
      <c r="I6" s="4" t="s">
        <v>28</v>
      </c>
      <c r="J6" s="4" t="s">
        <v>15</v>
      </c>
      <c r="K6" s="4" t="s">
        <v>29</v>
      </c>
      <c r="L6" s="4" t="b">
        <v>1</v>
      </c>
      <c r="M6" s="4">
        <v>4.0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 t="s">
        <v>29</v>
      </c>
      <c r="B7" s="6" t="s">
        <v>26</v>
      </c>
      <c r="C7" s="6" t="s">
        <v>27</v>
      </c>
      <c r="D7" s="6" t="s">
        <v>20</v>
      </c>
      <c r="E7" s="6" t="s">
        <v>17</v>
      </c>
      <c r="F7" s="6">
        <v>4.0</v>
      </c>
      <c r="G7" s="6">
        <v>1.0</v>
      </c>
      <c r="H7" s="6">
        <v>3.0</v>
      </c>
      <c r="I7" s="6" t="s">
        <v>15</v>
      </c>
      <c r="J7" s="6" t="s">
        <v>25</v>
      </c>
      <c r="K7" s="6" t="s">
        <v>15</v>
      </c>
      <c r="L7" s="6" t="b">
        <v>1</v>
      </c>
      <c r="M7" s="6">
        <v>2.0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4" t="s">
        <v>30</v>
      </c>
      <c r="B8" s="4" t="s">
        <v>31</v>
      </c>
      <c r="C8" s="4" t="s">
        <v>15</v>
      </c>
      <c r="D8" s="4" t="s">
        <v>16</v>
      </c>
      <c r="E8" s="4" t="s">
        <v>17</v>
      </c>
      <c r="F8" s="4">
        <v>3.0</v>
      </c>
      <c r="G8" s="4">
        <v>0.0</v>
      </c>
      <c r="H8" s="4">
        <v>2.0</v>
      </c>
      <c r="I8" s="4" t="s">
        <v>32</v>
      </c>
      <c r="J8" s="4" t="s">
        <v>15</v>
      </c>
      <c r="K8" s="4" t="s">
        <v>33</v>
      </c>
      <c r="L8" s="4" t="b">
        <v>1</v>
      </c>
      <c r="M8" s="4">
        <v>4.0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 t="s">
        <v>33</v>
      </c>
      <c r="B9" s="6" t="s">
        <v>31</v>
      </c>
      <c r="C9" s="6" t="s">
        <v>15</v>
      </c>
      <c r="D9" s="6" t="s">
        <v>20</v>
      </c>
      <c r="E9" s="6" t="s">
        <v>17</v>
      </c>
      <c r="F9" s="6">
        <v>6.0</v>
      </c>
      <c r="G9" s="6">
        <v>1.0</v>
      </c>
      <c r="H9" s="6">
        <v>4.0</v>
      </c>
      <c r="I9" s="6" t="s">
        <v>15</v>
      </c>
      <c r="J9" s="6" t="s">
        <v>30</v>
      </c>
      <c r="K9" s="6" t="s">
        <v>15</v>
      </c>
      <c r="L9" s="6" t="b">
        <v>1</v>
      </c>
      <c r="M9" s="6">
        <v>2.0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4" t="s">
        <v>34</v>
      </c>
      <c r="B10" s="4" t="s">
        <v>14</v>
      </c>
      <c r="C10" s="4" t="s">
        <v>15</v>
      </c>
      <c r="D10" s="4" t="s">
        <v>16</v>
      </c>
      <c r="E10" s="4" t="s">
        <v>35</v>
      </c>
      <c r="F10" s="4">
        <v>1.0</v>
      </c>
      <c r="G10" s="4">
        <v>2.0</v>
      </c>
      <c r="H10" s="4">
        <v>1.0</v>
      </c>
      <c r="I10" s="4" t="s">
        <v>36</v>
      </c>
      <c r="J10" s="4" t="s">
        <v>15</v>
      </c>
      <c r="K10" s="4" t="s">
        <v>37</v>
      </c>
      <c r="L10" s="4" t="b">
        <v>1</v>
      </c>
      <c r="M10" s="4">
        <v>4.0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 t="s">
        <v>37</v>
      </c>
      <c r="B11" s="6" t="s">
        <v>14</v>
      </c>
      <c r="C11" s="6" t="s">
        <v>15</v>
      </c>
      <c r="D11" s="6" t="s">
        <v>20</v>
      </c>
      <c r="E11" s="6" t="s">
        <v>38</v>
      </c>
      <c r="F11" s="6">
        <v>4.0</v>
      </c>
      <c r="G11" s="6">
        <v>4.0</v>
      </c>
      <c r="H11" s="6">
        <v>4.0</v>
      </c>
      <c r="I11" s="6" t="s">
        <v>15</v>
      </c>
      <c r="J11" s="6" t="s">
        <v>34</v>
      </c>
      <c r="K11" s="6" t="s">
        <v>15</v>
      </c>
      <c r="L11" s="6" t="b">
        <v>1</v>
      </c>
      <c r="M11" s="6">
        <v>2.0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4" t="s">
        <v>39</v>
      </c>
      <c r="B12" s="4" t="s">
        <v>22</v>
      </c>
      <c r="C12" s="4" t="s">
        <v>15</v>
      </c>
      <c r="D12" s="4" t="s">
        <v>16</v>
      </c>
      <c r="E12" s="4" t="s">
        <v>17</v>
      </c>
      <c r="F12" s="4">
        <v>2.0</v>
      </c>
      <c r="G12" s="4">
        <v>0.0</v>
      </c>
      <c r="H12" s="4">
        <v>2.0</v>
      </c>
      <c r="I12" s="4" t="s">
        <v>40</v>
      </c>
      <c r="J12" s="4" t="s">
        <v>15</v>
      </c>
      <c r="K12" s="4" t="s">
        <v>41</v>
      </c>
      <c r="L12" s="4" t="b">
        <v>1</v>
      </c>
      <c r="M12" s="4">
        <v>4.0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 t="s">
        <v>41</v>
      </c>
      <c r="B13" s="6" t="s">
        <v>22</v>
      </c>
      <c r="C13" s="6" t="s">
        <v>15</v>
      </c>
      <c r="D13" s="6" t="s">
        <v>20</v>
      </c>
      <c r="E13" s="6" t="s">
        <v>17</v>
      </c>
      <c r="F13" s="6">
        <v>4.0</v>
      </c>
      <c r="G13" s="6">
        <v>0.0</v>
      </c>
      <c r="H13" s="6">
        <v>4.0</v>
      </c>
      <c r="I13" s="6" t="s">
        <v>15</v>
      </c>
      <c r="J13" s="6" t="s">
        <v>39</v>
      </c>
      <c r="K13" s="6" t="s">
        <v>15</v>
      </c>
      <c r="L13" s="6" t="b">
        <v>1</v>
      </c>
      <c r="M13" s="6">
        <v>2.0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4" t="s">
        <v>42</v>
      </c>
      <c r="B14" s="4" t="s">
        <v>26</v>
      </c>
      <c r="C14" s="4" t="s">
        <v>43</v>
      </c>
      <c r="D14" s="4" t="s">
        <v>16</v>
      </c>
      <c r="E14" s="4" t="s">
        <v>17</v>
      </c>
      <c r="F14" s="4">
        <v>1.0</v>
      </c>
      <c r="G14" s="4">
        <v>0.0</v>
      </c>
      <c r="H14" s="4">
        <v>3.0</v>
      </c>
      <c r="I14" s="4" t="s">
        <v>44</v>
      </c>
      <c r="J14" s="4" t="s">
        <v>15</v>
      </c>
      <c r="K14" s="4" t="s">
        <v>45</v>
      </c>
      <c r="L14" s="4" t="b">
        <v>1</v>
      </c>
      <c r="M14" s="4">
        <v>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">
        <v>45</v>
      </c>
      <c r="B15" s="6" t="s">
        <v>26</v>
      </c>
      <c r="C15" s="6" t="s">
        <v>43</v>
      </c>
      <c r="D15" s="6" t="s">
        <v>20</v>
      </c>
      <c r="E15" s="6" t="s">
        <v>17</v>
      </c>
      <c r="F15" s="6">
        <v>3.0</v>
      </c>
      <c r="G15" s="6">
        <v>1.0</v>
      </c>
      <c r="H15" s="6">
        <v>4.0</v>
      </c>
      <c r="I15" s="6" t="s">
        <v>15</v>
      </c>
      <c r="J15" s="6" t="s">
        <v>42</v>
      </c>
      <c r="K15" s="6" t="s">
        <v>15</v>
      </c>
      <c r="L15" s="6" t="b">
        <v>1</v>
      </c>
      <c r="M15" s="6">
        <v>2.0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4" t="s">
        <v>46</v>
      </c>
      <c r="B16" s="4" t="s">
        <v>31</v>
      </c>
      <c r="C16" s="4" t="s">
        <v>15</v>
      </c>
      <c r="D16" s="4" t="s">
        <v>16</v>
      </c>
      <c r="E16" s="4" t="s">
        <v>38</v>
      </c>
      <c r="F16" s="4">
        <v>0.0</v>
      </c>
      <c r="G16" s="4">
        <v>0.0</v>
      </c>
      <c r="H16" s="4">
        <v>3.0</v>
      </c>
      <c r="I16" s="4" t="s">
        <v>47</v>
      </c>
      <c r="J16" s="4" t="s">
        <v>15</v>
      </c>
      <c r="K16" s="4" t="s">
        <v>48</v>
      </c>
      <c r="L16" s="4" t="b">
        <v>1</v>
      </c>
      <c r="M16" s="4">
        <v>4.0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 t="s">
        <v>48</v>
      </c>
      <c r="B17" s="6" t="s">
        <v>31</v>
      </c>
      <c r="C17" s="6" t="s">
        <v>15</v>
      </c>
      <c r="D17" s="6" t="s">
        <v>20</v>
      </c>
      <c r="E17" s="6" t="s">
        <v>17</v>
      </c>
      <c r="F17" s="6">
        <v>0.0</v>
      </c>
      <c r="G17" s="6">
        <v>0.0</v>
      </c>
      <c r="H17" s="6">
        <v>7.0</v>
      </c>
      <c r="I17" s="6" t="s">
        <v>15</v>
      </c>
      <c r="J17" s="6" t="s">
        <v>46</v>
      </c>
      <c r="K17" s="6" t="s">
        <v>15</v>
      </c>
      <c r="L17" s="6" t="b">
        <v>1</v>
      </c>
      <c r="M17" s="6">
        <v>2.0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" t="s">
        <v>49</v>
      </c>
      <c r="B18" s="4" t="s">
        <v>14</v>
      </c>
      <c r="C18" s="4" t="s">
        <v>15</v>
      </c>
      <c r="D18" s="4" t="s">
        <v>16</v>
      </c>
      <c r="E18" s="4" t="s">
        <v>17</v>
      </c>
      <c r="F18" s="4">
        <v>2.0</v>
      </c>
      <c r="G18" s="4">
        <v>2.0</v>
      </c>
      <c r="H18" s="4">
        <v>1.0</v>
      </c>
      <c r="I18" s="4" t="s">
        <v>50</v>
      </c>
      <c r="J18" s="4" t="s">
        <v>15</v>
      </c>
      <c r="K18" s="4" t="s">
        <v>51</v>
      </c>
      <c r="L18" s="4" t="b">
        <v>0</v>
      </c>
      <c r="M18" s="4">
        <v>4.0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 t="s">
        <v>51</v>
      </c>
      <c r="B19" s="6" t="s">
        <v>14</v>
      </c>
      <c r="C19" s="6" t="s">
        <v>15</v>
      </c>
      <c r="D19" s="6" t="s">
        <v>20</v>
      </c>
      <c r="E19" s="6" t="s">
        <v>17</v>
      </c>
      <c r="F19" s="6">
        <v>4.0</v>
      </c>
      <c r="G19" s="6">
        <v>4.0</v>
      </c>
      <c r="H19" s="6">
        <v>2.0</v>
      </c>
      <c r="I19" s="6" t="s">
        <v>15</v>
      </c>
      <c r="J19" s="6" t="s">
        <v>49</v>
      </c>
      <c r="K19" s="6" t="s">
        <v>15</v>
      </c>
      <c r="L19" s="6" t="b">
        <v>0</v>
      </c>
      <c r="M19" s="6">
        <v>2.0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" t="s">
        <v>52</v>
      </c>
      <c r="B20" s="4" t="s">
        <v>22</v>
      </c>
      <c r="C20" s="4" t="s">
        <v>15</v>
      </c>
      <c r="D20" s="4" t="s">
        <v>16</v>
      </c>
      <c r="E20" s="4" t="s">
        <v>17</v>
      </c>
      <c r="F20" s="4">
        <v>2.0</v>
      </c>
      <c r="G20" s="4">
        <v>0.0</v>
      </c>
      <c r="H20" s="4">
        <v>3.0</v>
      </c>
      <c r="I20" s="4" t="s">
        <v>53</v>
      </c>
      <c r="J20" s="4" t="s">
        <v>15</v>
      </c>
      <c r="K20" s="4" t="s">
        <v>54</v>
      </c>
      <c r="L20" s="4" t="b">
        <v>0</v>
      </c>
      <c r="M20" s="4">
        <v>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 t="s">
        <v>54</v>
      </c>
      <c r="B21" s="6" t="s">
        <v>22</v>
      </c>
      <c r="C21" s="6" t="s">
        <v>15</v>
      </c>
      <c r="D21" s="6" t="s">
        <v>20</v>
      </c>
      <c r="E21" s="6" t="s">
        <v>17</v>
      </c>
      <c r="F21" s="6">
        <v>4.0</v>
      </c>
      <c r="G21" s="6">
        <v>0.0</v>
      </c>
      <c r="H21" s="6">
        <v>5.0</v>
      </c>
      <c r="I21" s="6" t="s">
        <v>15</v>
      </c>
      <c r="J21" s="6" t="s">
        <v>52</v>
      </c>
      <c r="K21" s="6" t="s">
        <v>15</v>
      </c>
      <c r="L21" s="6" t="b">
        <v>0</v>
      </c>
      <c r="M21" s="6">
        <v>2.0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4" t="s">
        <v>55</v>
      </c>
      <c r="B22" s="4" t="s">
        <v>26</v>
      </c>
      <c r="C22" s="4" t="s">
        <v>56</v>
      </c>
      <c r="D22" s="4" t="s">
        <v>16</v>
      </c>
      <c r="E22" s="4" t="s">
        <v>17</v>
      </c>
      <c r="F22" s="4">
        <v>1.0</v>
      </c>
      <c r="G22" s="4">
        <v>1.0</v>
      </c>
      <c r="H22" s="4">
        <v>2.0</v>
      </c>
      <c r="I22" s="4" t="s">
        <v>57</v>
      </c>
      <c r="J22" s="4" t="s">
        <v>15</v>
      </c>
      <c r="K22" s="4" t="s">
        <v>58</v>
      </c>
      <c r="L22" s="4" t="b">
        <v>1</v>
      </c>
      <c r="M22" s="4">
        <v>4.0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 t="s">
        <v>58</v>
      </c>
      <c r="B23" s="6" t="s">
        <v>26</v>
      </c>
      <c r="C23" s="6" t="s">
        <v>56</v>
      </c>
      <c r="D23" s="6" t="s">
        <v>20</v>
      </c>
      <c r="E23" s="6" t="s">
        <v>17</v>
      </c>
      <c r="F23" s="6">
        <v>3.0</v>
      </c>
      <c r="G23" s="6">
        <v>2.0</v>
      </c>
      <c r="H23" s="6">
        <v>3.0</v>
      </c>
      <c r="I23" s="6" t="s">
        <v>15</v>
      </c>
      <c r="J23" s="6" t="s">
        <v>55</v>
      </c>
      <c r="K23" s="6" t="s">
        <v>15</v>
      </c>
      <c r="L23" s="6" t="b">
        <v>1</v>
      </c>
      <c r="M23" s="6">
        <v>2.0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4" t="s">
        <v>59</v>
      </c>
      <c r="B24" s="4" t="s">
        <v>31</v>
      </c>
      <c r="C24" s="4" t="s">
        <v>15</v>
      </c>
      <c r="D24" s="4" t="s">
        <v>16</v>
      </c>
      <c r="E24" s="4" t="s">
        <v>38</v>
      </c>
      <c r="F24" s="4">
        <v>3.0</v>
      </c>
      <c r="G24" s="4">
        <v>1.0</v>
      </c>
      <c r="H24" s="4">
        <v>1.0</v>
      </c>
      <c r="I24" s="4" t="s">
        <v>60</v>
      </c>
      <c r="J24" s="4" t="s">
        <v>15</v>
      </c>
      <c r="K24" s="8" t="s">
        <v>61</v>
      </c>
      <c r="L24" s="4" t="b">
        <v>0</v>
      </c>
      <c r="M24" s="4">
        <v>4.0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8" t="s">
        <v>61</v>
      </c>
      <c r="B25" s="6" t="s">
        <v>31</v>
      </c>
      <c r="C25" s="6" t="s">
        <v>15</v>
      </c>
      <c r="D25" s="6" t="s">
        <v>20</v>
      </c>
      <c r="E25" s="6" t="s">
        <v>38</v>
      </c>
      <c r="F25" s="6">
        <v>5.0</v>
      </c>
      <c r="G25" s="6">
        <v>2.0</v>
      </c>
      <c r="H25" s="6">
        <v>5.0</v>
      </c>
      <c r="I25" s="6" t="s">
        <v>15</v>
      </c>
      <c r="J25" s="6" t="s">
        <v>59</v>
      </c>
      <c r="K25" s="6" t="s">
        <v>15</v>
      </c>
      <c r="L25" s="6" t="b">
        <v>0</v>
      </c>
      <c r="M25" s="6">
        <v>2.0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$A$1:$AA$25"/>
  <dataValidations>
    <dataValidation type="list" allowBlank="1" showErrorMessage="1" sqref="C2:C25">
      <formula1>"-,Anatemi,Incantesimi,Sortilegi"</formula1>
    </dataValidation>
    <dataValidation type="list" allowBlank="1" showErrorMessage="1" sqref="B2:B25">
      <formula1>"Elfo,Maga,Nano,Umano"</formula1>
    </dataValidation>
    <dataValidation type="list" allowBlank="1" showErrorMessage="1" sqref="D2:D25">
      <formula1>"Recluta,Eroe"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88"/>
    <col customWidth="1" min="3" max="3" width="9.63"/>
    <col customWidth="1" min="4" max="5" width="45.75"/>
    <col customWidth="1" min="6" max="6" width="11.75"/>
    <col customWidth="1" min="7" max="7" width="12.38"/>
    <col customWidth="1" min="8" max="26" width="45.75"/>
  </cols>
  <sheetData>
    <row r="1">
      <c r="A1" s="1" t="s">
        <v>0</v>
      </c>
      <c r="B1" s="1" t="s">
        <v>2</v>
      </c>
      <c r="C1" s="1" t="s">
        <v>4</v>
      </c>
      <c r="D1" s="1" t="s">
        <v>62</v>
      </c>
      <c r="E1" s="1" t="s">
        <v>63</v>
      </c>
      <c r="F1" s="2" t="s">
        <v>11</v>
      </c>
      <c r="G1" s="2" t="s">
        <v>12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64</v>
      </c>
      <c r="B2" s="4" t="s">
        <v>65</v>
      </c>
      <c r="C2" s="4" t="s">
        <v>66</v>
      </c>
      <c r="D2" s="4" t="s">
        <v>67</v>
      </c>
      <c r="E2" s="4" t="s">
        <v>68</v>
      </c>
      <c r="F2" s="4" t="b">
        <v>1</v>
      </c>
      <c r="G2" s="4">
        <v>4.0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69</v>
      </c>
      <c r="B3" s="6" t="s">
        <v>70</v>
      </c>
      <c r="C3" s="6" t="s">
        <v>66</v>
      </c>
      <c r="D3" s="6" t="s">
        <v>71</v>
      </c>
      <c r="E3" s="6" t="s">
        <v>72</v>
      </c>
      <c r="F3" s="6" t="b">
        <v>1</v>
      </c>
      <c r="G3" s="6">
        <v>4.0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73</v>
      </c>
      <c r="B4" s="4" t="s">
        <v>74</v>
      </c>
      <c r="C4" s="4" t="s">
        <v>66</v>
      </c>
      <c r="D4" s="4" t="s">
        <v>75</v>
      </c>
      <c r="E4" s="4" t="s">
        <v>76</v>
      </c>
      <c r="F4" s="4" t="b">
        <v>1</v>
      </c>
      <c r="G4" s="4">
        <v>4.0</v>
      </c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77</v>
      </c>
      <c r="B5" s="6" t="s">
        <v>65</v>
      </c>
      <c r="C5" s="6" t="s">
        <v>66</v>
      </c>
      <c r="D5" s="6" t="s">
        <v>78</v>
      </c>
      <c r="E5" s="6" t="s">
        <v>79</v>
      </c>
      <c r="F5" s="6" t="b">
        <v>1</v>
      </c>
      <c r="G5" s="6">
        <v>4.0</v>
      </c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80</v>
      </c>
      <c r="B6" s="4" t="s">
        <v>70</v>
      </c>
      <c r="C6" s="4" t="s">
        <v>66</v>
      </c>
      <c r="D6" s="4" t="s">
        <v>81</v>
      </c>
      <c r="E6" s="4" t="s">
        <v>82</v>
      </c>
      <c r="F6" s="4" t="b">
        <v>1</v>
      </c>
      <c r="G6" s="4">
        <v>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83</v>
      </c>
      <c r="B7" s="6" t="s">
        <v>74</v>
      </c>
      <c r="C7" s="6" t="s">
        <v>66</v>
      </c>
      <c r="D7" s="6" t="s">
        <v>84</v>
      </c>
      <c r="E7" s="6" t="s">
        <v>85</v>
      </c>
      <c r="F7" s="6" t="b">
        <v>1</v>
      </c>
      <c r="G7" s="6">
        <v>4.0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86</v>
      </c>
      <c r="B8" s="4" t="s">
        <v>65</v>
      </c>
      <c r="C8" s="4" t="s">
        <v>66</v>
      </c>
      <c r="D8" s="4" t="s">
        <v>87</v>
      </c>
      <c r="E8" s="4" t="s">
        <v>88</v>
      </c>
      <c r="F8" s="4" t="b">
        <v>1</v>
      </c>
      <c r="G8" s="4">
        <v>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89</v>
      </c>
      <c r="B9" s="6" t="s">
        <v>70</v>
      </c>
      <c r="C9" s="6" t="s">
        <v>66</v>
      </c>
      <c r="D9" s="6" t="s">
        <v>90</v>
      </c>
      <c r="E9" s="6" t="s">
        <v>91</v>
      </c>
      <c r="F9" s="6" t="b">
        <v>1</v>
      </c>
      <c r="G9" s="6">
        <v>4.0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92</v>
      </c>
      <c r="B10" s="4" t="s">
        <v>74</v>
      </c>
      <c r="C10" s="4" t="s">
        <v>66</v>
      </c>
      <c r="D10" s="4" t="s">
        <v>93</v>
      </c>
      <c r="E10" s="4" t="s">
        <v>94</v>
      </c>
      <c r="F10" s="4" t="b">
        <v>1</v>
      </c>
      <c r="G10" s="4">
        <v>3.0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95</v>
      </c>
      <c r="B11" s="6" t="s">
        <v>65</v>
      </c>
      <c r="C11" s="6" t="s">
        <v>96</v>
      </c>
      <c r="D11" s="6" t="s">
        <v>97</v>
      </c>
      <c r="E11" s="6" t="s">
        <v>98</v>
      </c>
      <c r="F11" s="6" t="b">
        <v>1</v>
      </c>
      <c r="G11" s="6">
        <v>3.0</v>
      </c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99</v>
      </c>
      <c r="B12" s="4" t="s">
        <v>70</v>
      </c>
      <c r="C12" s="4" t="s">
        <v>96</v>
      </c>
      <c r="D12" s="4" t="s">
        <v>100</v>
      </c>
      <c r="E12" s="4" t="s">
        <v>101</v>
      </c>
      <c r="F12" s="4" t="b">
        <v>1</v>
      </c>
      <c r="G12" s="4">
        <v>3.0</v>
      </c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102</v>
      </c>
      <c r="B13" s="6" t="s">
        <v>74</v>
      </c>
      <c r="C13" s="6" t="s">
        <v>96</v>
      </c>
      <c r="D13" s="6" t="s">
        <v>103</v>
      </c>
      <c r="E13" s="6" t="s">
        <v>104</v>
      </c>
      <c r="F13" s="6" t="b">
        <v>1</v>
      </c>
      <c r="G13" s="6">
        <v>3.0</v>
      </c>
      <c r="H13" s="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105</v>
      </c>
      <c r="B14" s="4" t="s">
        <v>65</v>
      </c>
      <c r="C14" s="4" t="s">
        <v>96</v>
      </c>
      <c r="D14" s="4" t="s">
        <v>106</v>
      </c>
      <c r="E14" s="4" t="s">
        <v>107</v>
      </c>
      <c r="F14" s="4" t="b">
        <v>1</v>
      </c>
      <c r="G14" s="4">
        <v>3.0</v>
      </c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108</v>
      </c>
      <c r="B15" s="6" t="s">
        <v>70</v>
      </c>
      <c r="C15" s="6" t="s">
        <v>96</v>
      </c>
      <c r="D15" s="6" t="s">
        <v>109</v>
      </c>
      <c r="E15" s="6" t="s">
        <v>110</v>
      </c>
      <c r="F15" s="6" t="b">
        <v>1</v>
      </c>
      <c r="G15" s="6">
        <v>3.0</v>
      </c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111</v>
      </c>
      <c r="B16" s="4" t="s">
        <v>74</v>
      </c>
      <c r="C16" s="4" t="s">
        <v>96</v>
      </c>
      <c r="D16" s="4" t="s">
        <v>112</v>
      </c>
      <c r="E16" s="4" t="s">
        <v>113</v>
      </c>
      <c r="F16" s="4" t="b">
        <v>1</v>
      </c>
      <c r="G16" s="4">
        <v>3.0</v>
      </c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114</v>
      </c>
      <c r="B17" s="6" t="s">
        <v>65</v>
      </c>
      <c r="C17" s="6" t="s">
        <v>96</v>
      </c>
      <c r="D17" s="6" t="s">
        <v>115</v>
      </c>
      <c r="E17" s="6" t="s">
        <v>116</v>
      </c>
      <c r="F17" s="6" t="b">
        <v>1</v>
      </c>
      <c r="G17" s="6">
        <v>3.0</v>
      </c>
      <c r="H17" s="6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117</v>
      </c>
      <c r="B18" s="4" t="s">
        <v>70</v>
      </c>
      <c r="C18" s="4" t="s">
        <v>96</v>
      </c>
      <c r="D18" s="4" t="s">
        <v>118</v>
      </c>
      <c r="E18" s="4" t="s">
        <v>119</v>
      </c>
      <c r="F18" s="4" t="b">
        <v>1</v>
      </c>
      <c r="G18" s="4">
        <v>3.0</v>
      </c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120</v>
      </c>
      <c r="B19" s="6" t="s">
        <v>74</v>
      </c>
      <c r="C19" s="6" t="s">
        <v>96</v>
      </c>
      <c r="D19" s="6" t="s">
        <v>121</v>
      </c>
      <c r="E19" s="6" t="s">
        <v>122</v>
      </c>
      <c r="F19" s="6" t="b">
        <v>0</v>
      </c>
      <c r="G19" s="6">
        <v>3.0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123</v>
      </c>
      <c r="B20" s="4" t="s">
        <v>65</v>
      </c>
      <c r="C20" s="4" t="s">
        <v>124</v>
      </c>
      <c r="D20" s="4" t="s">
        <v>125</v>
      </c>
      <c r="E20" s="4" t="s">
        <v>126</v>
      </c>
      <c r="F20" s="4" t="b">
        <v>1</v>
      </c>
      <c r="G20" s="4">
        <v>2.0</v>
      </c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127</v>
      </c>
      <c r="B21" s="6" t="s">
        <v>70</v>
      </c>
      <c r="C21" s="6" t="s">
        <v>124</v>
      </c>
      <c r="D21" s="6" t="s">
        <v>128</v>
      </c>
      <c r="E21" s="6" t="s">
        <v>129</v>
      </c>
      <c r="F21" s="6" t="b">
        <v>1</v>
      </c>
      <c r="G21" s="6">
        <v>2.0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130</v>
      </c>
      <c r="B22" s="4" t="s">
        <v>74</v>
      </c>
      <c r="C22" s="4" t="s">
        <v>124</v>
      </c>
      <c r="D22" s="4" t="s">
        <v>122</v>
      </c>
      <c r="E22" s="4" t="s">
        <v>131</v>
      </c>
      <c r="F22" s="4" t="b">
        <v>0</v>
      </c>
      <c r="G22" s="4">
        <v>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</sheetData>
  <autoFilter ref="$A$1:$Z$22"/>
  <dataValidations>
    <dataValidation type="list" allowBlank="1" showErrorMessage="1" sqref="B2:B22">
      <formula1>"Anatema,Incantesimo,Sortilegio"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0.13"/>
    <col customWidth="1" min="3" max="3" width="14.38"/>
    <col customWidth="1" min="4" max="4" width="43.38"/>
    <col customWidth="1" min="5" max="5" width="53.25"/>
  </cols>
  <sheetData>
    <row r="1">
      <c r="A1" s="12" t="s">
        <v>0</v>
      </c>
      <c r="B1" s="12" t="s">
        <v>132</v>
      </c>
      <c r="C1" s="12" t="s">
        <v>133</v>
      </c>
      <c r="D1" s="12" t="s">
        <v>62</v>
      </c>
      <c r="E1" s="12" t="s">
        <v>134</v>
      </c>
      <c r="F1" s="13" t="s">
        <v>11</v>
      </c>
      <c r="G1" s="13" t="s">
        <v>12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135</v>
      </c>
      <c r="B2" s="15" t="s">
        <v>38</v>
      </c>
      <c r="C2" s="15" t="s">
        <v>38</v>
      </c>
      <c r="D2" s="15" t="s">
        <v>136</v>
      </c>
      <c r="E2" s="15" t="s">
        <v>137</v>
      </c>
      <c r="F2" s="15" t="b">
        <v>1</v>
      </c>
      <c r="G2" s="15">
        <v>4.0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138</v>
      </c>
      <c r="B3" s="15" t="s">
        <v>38</v>
      </c>
      <c r="C3" s="15" t="s">
        <v>38</v>
      </c>
      <c r="D3" s="15" t="s">
        <v>139</v>
      </c>
      <c r="E3" s="15" t="s">
        <v>140</v>
      </c>
      <c r="F3" s="15" t="b">
        <v>0</v>
      </c>
      <c r="G3" s="15">
        <v>4.0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141</v>
      </c>
      <c r="B4" s="15" t="s">
        <v>38</v>
      </c>
      <c r="C4" s="15" t="s">
        <v>38</v>
      </c>
      <c r="D4" s="15" t="s">
        <v>142</v>
      </c>
      <c r="E4" s="15" t="s">
        <v>143</v>
      </c>
      <c r="F4" s="15" t="b">
        <v>0</v>
      </c>
      <c r="G4" s="15">
        <v>4.0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144</v>
      </c>
      <c r="B5" s="15" t="s">
        <v>17</v>
      </c>
      <c r="C5" s="15" t="s">
        <v>17</v>
      </c>
      <c r="D5" s="15" t="s">
        <v>145</v>
      </c>
      <c r="E5" s="15" t="s">
        <v>146</v>
      </c>
      <c r="F5" s="15" t="b">
        <v>1</v>
      </c>
      <c r="G5" s="15">
        <v>4.0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147</v>
      </c>
      <c r="B6" s="15" t="s">
        <v>35</v>
      </c>
      <c r="C6" s="15" t="s">
        <v>35</v>
      </c>
      <c r="D6" s="15" t="s">
        <v>148</v>
      </c>
      <c r="E6" s="15" t="s">
        <v>149</v>
      </c>
      <c r="F6" s="15" t="b">
        <v>1</v>
      </c>
      <c r="G6" s="15">
        <v>4.0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150</v>
      </c>
      <c r="B7" s="15" t="s">
        <v>35</v>
      </c>
      <c r="C7" s="15" t="s">
        <v>35</v>
      </c>
      <c r="D7" s="15" t="s">
        <v>151</v>
      </c>
      <c r="E7" s="15" t="s">
        <v>152</v>
      </c>
      <c r="F7" s="15" t="b">
        <v>1</v>
      </c>
      <c r="G7" s="15">
        <v>4.0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153</v>
      </c>
      <c r="B8" s="15" t="s">
        <v>35</v>
      </c>
      <c r="C8" s="15" t="s">
        <v>35</v>
      </c>
      <c r="D8" s="15" t="s">
        <v>154</v>
      </c>
      <c r="E8" s="15" t="s">
        <v>155</v>
      </c>
      <c r="F8" s="15" t="b">
        <v>1</v>
      </c>
      <c r="G8" s="15">
        <v>4.0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156</v>
      </c>
      <c r="B9" s="15" t="s">
        <v>35</v>
      </c>
      <c r="C9" s="15" t="s">
        <v>157</v>
      </c>
      <c r="D9" s="15" t="s">
        <v>158</v>
      </c>
      <c r="E9" s="15" t="s">
        <v>159</v>
      </c>
      <c r="F9" s="15" t="b">
        <v>1</v>
      </c>
      <c r="G9" s="15">
        <v>4.0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160</v>
      </c>
      <c r="B10" s="15" t="s">
        <v>17</v>
      </c>
      <c r="C10" s="15" t="s">
        <v>17</v>
      </c>
      <c r="D10" s="15" t="s">
        <v>161</v>
      </c>
      <c r="E10" s="15" t="s">
        <v>162</v>
      </c>
      <c r="F10" s="15" t="b">
        <v>1</v>
      </c>
      <c r="G10" s="15">
        <v>4.0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163</v>
      </c>
      <c r="B11" s="15" t="s">
        <v>17</v>
      </c>
      <c r="C11" s="15" t="s">
        <v>17</v>
      </c>
      <c r="D11" s="15" t="s">
        <v>164</v>
      </c>
      <c r="E11" s="15" t="s">
        <v>165</v>
      </c>
      <c r="F11" s="15" t="b">
        <v>1</v>
      </c>
      <c r="G11" s="15">
        <v>4.0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166</v>
      </c>
      <c r="B12" s="15" t="s">
        <v>35</v>
      </c>
      <c r="C12" s="15" t="s">
        <v>38</v>
      </c>
      <c r="D12" s="15" t="s">
        <v>167</v>
      </c>
      <c r="E12" s="15" t="s">
        <v>168</v>
      </c>
      <c r="F12" s="15" t="b">
        <v>0</v>
      </c>
      <c r="G12" s="15">
        <v>4.0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169</v>
      </c>
      <c r="B13" s="15" t="s">
        <v>35</v>
      </c>
      <c r="C13" s="15" t="s">
        <v>17</v>
      </c>
      <c r="D13" s="15" t="s">
        <v>170</v>
      </c>
      <c r="E13" s="15" t="s">
        <v>171</v>
      </c>
      <c r="F13" s="15" t="b">
        <v>1</v>
      </c>
      <c r="G13" s="15">
        <v>4.0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172</v>
      </c>
      <c r="B14" s="15" t="s">
        <v>35</v>
      </c>
      <c r="C14" s="15" t="s">
        <v>173</v>
      </c>
      <c r="D14" s="15" t="s">
        <v>158</v>
      </c>
      <c r="E14" s="15" t="s">
        <v>174</v>
      </c>
      <c r="F14" s="15" t="b">
        <v>1</v>
      </c>
      <c r="G14" s="15">
        <v>4.0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175</v>
      </c>
      <c r="B15" s="15" t="s">
        <v>35</v>
      </c>
      <c r="C15" s="15" t="s">
        <v>173</v>
      </c>
      <c r="D15" s="15" t="s">
        <v>176</v>
      </c>
      <c r="E15" s="15" t="s">
        <v>158</v>
      </c>
      <c r="F15" s="15" t="b">
        <v>1</v>
      </c>
      <c r="G15" s="15">
        <v>4.0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177</v>
      </c>
      <c r="B16" s="15" t="s">
        <v>17</v>
      </c>
      <c r="C16" s="15" t="s">
        <v>17</v>
      </c>
      <c r="D16" s="15" t="s">
        <v>178</v>
      </c>
      <c r="E16" s="15" t="s">
        <v>179</v>
      </c>
      <c r="F16" s="15" t="b">
        <v>0</v>
      </c>
      <c r="G16" s="15">
        <v>4.0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</cols>
  <sheetData>
    <row r="1">
      <c r="A1" s="16" t="s">
        <v>180</v>
      </c>
      <c r="B1" s="16" t="s">
        <v>181</v>
      </c>
      <c r="C1" s="16" t="s">
        <v>182</v>
      </c>
      <c r="D1" s="16" t="s">
        <v>183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7">
        <f>SUM(Guerrieri!M:M)</f>
        <v>72</v>
      </c>
      <c r="B2" s="17">
        <f>SUM(Magie!G:G)</f>
        <v>68</v>
      </c>
      <c r="C2" s="17">
        <f>SUM(Costruzioni!G:G)</f>
        <v>60</v>
      </c>
      <c r="D2" s="17">
        <f>SUM(A2:C2)</f>
        <v>200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drawing r:id="rId1"/>
</worksheet>
</file>